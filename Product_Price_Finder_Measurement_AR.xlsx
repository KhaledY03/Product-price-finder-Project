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b7fa0af2d14340" /></Relationships>
</file>

<file path=xl/workbook.xml><?xml version="1.0" encoding="utf-8"?>
<x:workbook xmlns:x="http://schemas.openxmlformats.org/spreadsheetml/2006/main">
  <x:sheets>
    <x:sheet xmlns:r="http://schemas.openxmlformats.org/officeDocument/2006/relationships" name="مقارنة الأزمنة" sheetId="1" r:id="R7383628ba9b24b7d"/>
    <x:sheet xmlns:r="http://schemas.openxmlformats.org/officeDocument/2006/relationships" name="حالات الاختبار المقترحة" sheetId="2" r:id="R70e22eae85a94783"/>
    <x:sheet xmlns:r="http://schemas.openxmlformats.org/officeDocument/2006/relationships" name="منهج الحساب" sheetId="3" r:id="R7f504f4e704e482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m]:ss"/>
    <x:numFmt numFmtId="202" formatCode="0.0%"/>
  </x:numFmts>
  <x:fonts count="4">
    <x:font>
      <x:sz val="11"/>
      <x:name val="Arial"/>
    </x:font>
    <x:font>
      <x:sz val="12"/>
      <x:color rgb="FF18283B"/>
      <x:name val="Arial"/>
    </x:font>
    <x:font>
      <x:b/>
      <x:sz val="17"/>
      <x:color rgb="FF243852"/>
      <x:name val="Arial"/>
    </x:font>
    <x:font>
      <x:b/>
      <x:sz val="12"/>
      <x:color rgb="FFFFFFFF"/>
      <x:name val="Arial"/>
    </x:font>
  </x:fonts>
  <x:fills count="5">
    <x:fill>
      <x:patternFill patternType="none"/>
    </x:fill>
    <x:fill>
      <x:patternFill patternType="gray125"/>
    </x:fill>
    <x:fill>
      <x:patternFill patternType="solid">
        <x:fgColor rgb="FF243852"/>
      </x:patternFill>
    </x:fill>
    <x:fill>
      <x:patternFill patternType="solid">
        <x:fgColor rgb="FFFFF1CC"/>
      </x:patternFill>
    </x:fill>
    <x:fill>
      <x:patternFill patternType="solid">
        <x:fgColor rgb="FFEEF2F7"/>
      </x:patternFill>
    </x:fill>
  </x:fills>
  <x:borders count="1">
    <x:border>
      <x:left/>
      <x:right/>
      <x:top/>
      <x:bottom/>
      <x:diagonal/>
    </x:border>
  </x:borders>
  <x:cellStyleXfs count="1">
    <x:xf numFmtId="0" fontId="0" fillId="0" borderId="0">
      <x:alignment readingOrder="2" horizontal="right"/>
    </x:xf>
  </x:cellStyleXfs>
  <x:cellXfs count="26">
    <x:xf numFmtId="0" fontId="0" fillId="0" borderId="0" xfId="0">
      <x:alignment readingOrder="2" horizontal="right"/>
    </x:xf>
    <x:xf numFmtId="0" fontId="1" fillId="0" borderId="0" xfId="0" applyNumberFormat="1" applyFont="1" applyFill="1" applyBorder="1"/>
    <x:xf numFmtId="0" fontId="1" fillId="0" borderId="0" xfId="0" applyNumberFormat="1" applyFont="1" applyFill="1" applyBorder="1" applyAlignment="1">
      <x:alignment horizontal="right"/>
    </x:xf>
    <x:xf numFmtId="0" fontId="1" fillId="0" borderId="0" xfId="0" applyNumberFormat="1" applyFont="1" applyFill="1" applyBorder="1" applyAlignment="1">
      <x:alignment horizontal="right" vertical="center"/>
    </x:xf>
    <x:xf numFmtId="0" fontId="2" fillId="0" borderId="0" xfId="0" applyNumberFormat="1" applyFont="1" applyFill="1" applyBorder="1" applyAlignment="1">
      <x:alignment horizontal="right" vertical="center"/>
    </x:xf>
    <x:xf numFmtId="0" fontId="1" fillId="0" borderId="0" xfId="0" applyNumberFormat="1" applyFont="1" applyFill="1" applyBorder="1" applyAlignment="1">
      <x:alignment horizontal="right" vertical="center" wrapText="1"/>
    </x:xf>
    <x:xf numFmtId="0" fontId="1" fillId="2" borderId="0" xfId="0" applyNumberFormat="1" applyFont="1" applyFill="1" applyBorder="1" applyAlignment="1">
      <x:alignment horizontal="right" vertical="center"/>
    </x:xf>
    <x:xf numFmtId="0" fontId="3" fillId="2" borderId="0" xfId="0" applyNumberFormat="1" applyFont="1" applyFill="1" applyBorder="1" applyAlignment="1">
      <x:alignment horizontal="right" vertical="center"/>
    </x:xf>
    <x:xf numFmtId="0" fontId="3" fillId="2" borderId="0" xfId="0" applyNumberFormat="1" applyFont="1" applyFill="1" applyBorder="1" applyAlignment="1">
      <x:alignment horizontal="right" vertical="center" wrapText="1"/>
    </x:xf>
    <x:xf numFmtId="0" fontId="1" fillId="3" borderId="0" xfId="0" applyNumberFormat="1" applyFont="1" applyFill="1" applyBorder="1" applyAlignment="1">
      <x:alignment horizontal="right" vertical="center"/>
    </x:xf>
    <x:xf numFmtId="200" fontId="1" fillId="3" borderId="0" xfId="0" applyNumberFormat="1" applyFont="1" applyFill="1" applyBorder="1" applyAlignment="1">
      <x:alignment horizontal="right" vertical="center"/>
    </x:xf>
    <x:xf numFmtId="201" fontId="1" fillId="0" borderId="0" xfId="0" applyNumberFormat="1" applyFont="1" applyFill="1" applyBorder="1" applyAlignment="1">
      <x:alignment horizontal="right" vertical="center"/>
    </x:xf>
    <x:xf numFmtId="201" fontId="1" fillId="4"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0" fontId="1" fillId="4" borderId="0" xfId="0" applyNumberFormat="1" applyFont="1" applyFill="1" applyBorder="1" applyAlignment="1">
      <x:alignment horizontal="right" vertical="center"/>
    </x:xf>
    <x:xf numFmtId="202" fontId="1" fillId="0" borderId="0" xfId="0" applyNumberFormat="1" applyFont="1" applyFill="1" applyBorder="1" applyAlignment="1">
      <x:alignment horizontal="right" vertical="center"/>
    </x:xf>
    <x:xf numFmtId="202" fontId="1" fillId="4" borderId="0" xfId="0" applyNumberFormat="1" applyFont="1" applyFill="1" applyBorder="1" applyAlignment="1">
      <x:alignment horizontal="right" vertical="center"/>
    </x:xf>
    <x:xf numFmtId="0" fontId="1" fillId="0" borderId="0" xfId="0" applyNumberFormat="1" applyFont="1" applyFill="1" applyBorder="1" applyAlignment="1">
      <x:alignment horizontal="right" vertical="center" readingOrder="2"/>
    </x:xf>
    <x:xf numFmtId="0" fontId="2" fillId="0" borderId="0" xfId="0" applyNumberFormat="1" applyFont="1" applyFill="1" applyBorder="1" applyAlignment="1">
      <x:alignment horizontal="right" vertical="center" readingOrder="2"/>
    </x:xf>
    <x:xf numFmtId="0" fontId="1" fillId="0" borderId="0" xfId="0" applyNumberFormat="1" applyFont="1" applyFill="1" applyBorder="1" applyAlignment="1">
      <x:alignment horizontal="right" vertical="center" wrapText="1" readingOrder="2"/>
    </x:xf>
    <x:xf numFmtId="0" fontId="1" fillId="0" borderId="0" xfId="0" applyNumberFormat="1" applyFont="1" applyFill="1" applyBorder="1" applyAlignment="1">
      <x:alignment horizontal="left" vertical="center" readingOrder="1"/>
    </x:xf>
    <x:xf numFmtId="0" fontId="3" fillId="2" borderId="0" xfId="0" applyNumberFormat="1" applyFont="1" applyFill="1" applyBorder="1" applyAlignment="1">
      <x:alignment horizontal="right" vertical="center" wrapText="1" readingOrder="2"/>
    </x:xf>
    <x:xf numFmtId="200" fontId="1" fillId="3" borderId="0" xfId="0" applyNumberFormat="1" applyFont="1" applyFill="1" applyBorder="1" applyAlignment="1">
      <x:alignment horizontal="right" vertical="center" readingOrder="1"/>
    </x:xf>
    <x:xf numFmtId="201" fontId="1" fillId="4" borderId="0" xfId="0" applyNumberFormat="1" applyFont="1" applyFill="1" applyBorder="1" applyAlignment="1">
      <x:alignment horizontal="right" vertical="center" readingOrder="1"/>
    </x:xf>
    <x:xf numFmtId="200" fontId="1" fillId="4" borderId="0" xfId="0" applyNumberFormat="1" applyFont="1" applyFill="1" applyBorder="1" applyAlignment="1">
      <x:alignment horizontal="right" vertical="center" readingOrder="1"/>
    </x:xf>
    <x:xf numFmtId="202" fontId="1" fillId="4" borderId="0" xfId="0" applyNumberFormat="1" applyFont="1" applyFill="1" applyBorder="1" applyAlignment="1">
      <x:alignment horizontal="right" vertical="center" readingOrder="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6d241a1af954a7f" /><Relationship Type="http://schemas.openxmlformats.org/officeDocument/2006/relationships/theme" Target="/xl/theme/theme1.xml" Id="R7812cbbe69264787" /><Relationship Type="http://schemas.openxmlformats.org/officeDocument/2006/relationships/sharedStrings" Target="/xl/sharedStrings.xml" Id="Rdf2ae3e3ad2040ee" /><Relationship Type="http://schemas.openxmlformats.org/officeDocument/2006/relationships/worksheet" Target="/xl/worksheets/sheet1.xml" Id="R7383628ba9b24b7d" /><Relationship Type="http://schemas.openxmlformats.org/officeDocument/2006/relationships/worksheet" Target="/xl/worksheets/sheet2.xml" Id="R70e22eae85a94783" /><Relationship Type="http://schemas.openxmlformats.org/officeDocument/2006/relationships/worksheet" Target="/xl/worksheets/sheet3.xml" Id="R7f504f4e704e482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rial"/>
        <a:ea typeface="Arial"/>
        <a:cs typeface="Arial"/>
      </a:majorFont>
      <a:minorFont>
        <a:latin typeface="Arial"/>
        <a:ea typeface="Arial"/>
        <a:cs typeface="Arial"/>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852"/>
  </x:sheetPr>
  <x:sheetViews>
    <x:sheetView showGridLines="0" workbookViewId="0" rightToLeft="1"/>
  </x:sheetViews>
  <x:sheetFormatPr defaultRowHeight="15"/>
  <x:cols>
    <x:col min="1" max="1" width="44" hidden="0" customWidth="1"/>
    <x:col min="2" max="2" width="23" hidden="0" customWidth="1"/>
    <x:col min="3" max="3" width="23" hidden="0" customWidth="1"/>
    <x:col min="4" max="4" width="23" hidden="0" customWidth="1"/>
    <x:col min="5" max="5" width="23" hidden="0" customWidth="1"/>
    <x:col min="6" max="6" width="3" hidden="0" customWidth="1"/>
    <x:col min="7" max="7" width="70" hidden="0" customWidth="1"/>
  </x:cols>
  <x:sheetData>
    <x:row r="1" ht="32" customHeight="1">
      <x:c r="A1" s="17"/>
      <x:c r="B1" s="17"/>
      <x:c r="C1" s="17"/>
      <x:c r="D1" s="17"/>
      <x:c r="E1" s="17"/>
      <x:c r="F1" s="17"/>
      <x:c r="G1" s="17"/>
    </x:row>
    <x:row r="2" ht="55" customHeight="1">
      <x:c r="A2" s="18" t="str">
        <x:v>مقارنة الأزمنة</x:v>
      </x:c>
      <x:c r="B2" s="17"/>
      <x:c r="C2" s="17"/>
      <x:c r="D2" s="17"/>
      <x:c r="E2" s="17"/>
      <x:c r="F2" s="17"/>
      <x:c r="G2" s="19" t="str">
        <x:v>نطاقات تقريبية بإفادة المستخدم. تشمل مراجعة المصادر والتصحيح، لنفس المنتج ومتطلبات متكافئة.</x:v>
      </x:c>
    </x:row>
    <x:row r="3" ht="32" customHeight="1">
      <x:c r="A3" s="17" t="str">
        <x:v>المشارك</x:v>
      </x:c>
      <x:c r="B3" s="17" t="str">
        <x:v>خالد يوسف السمنان</x:v>
      </x:c>
      <x:c r="C3" s="17"/>
      <x:c r="D3" s="17"/>
      <x:c r="E3" s="17"/>
      <x:c r="F3" s="17"/>
      <x:c r="G3" s="17"/>
    </x:row>
    <x:row r="4" ht="32" customHeight="1">
      <x:c r="A4" s="17" t="str">
        <x:v>التطبيق المجرّب</x:v>
      </x:c>
      <x:c r="B4" s="20" t="str">
        <x:v>ChatGPT</x:v>
      </x:c>
      <x:c r="C4" s="20" t="str">
        <x:v>Product Price Finder 2</x:v>
      </x:c>
      <x:c r="D4" s="17"/>
      <x:c r="E4" s="17"/>
      <x:c r="F4" s="17"/>
      <x:c r="G4" s="17"/>
    </x:row>
    <x:row r="5" ht="32" customHeight="1">
      <x:c r="A5" s="17"/>
      <x:c r="B5" s="17"/>
      <x:c r="C5" s="17"/>
      <x:c r="D5" s="17"/>
      <x:c r="E5" s="17"/>
      <x:c r="F5" s="17"/>
      <x:c r="G5" s="17"/>
    </x:row>
    <x:row r="6" ht="45" customHeight="1">
      <x:c r="A6" s="21" t="str">
        <x:v>الطريقة</x:v>
      </x:c>
      <x:c r="B6" s="21" t="str">
        <x:v>الحد الأدنى (ثانية)</x:v>
      </x:c>
      <x:c r="C6" s="21" t="str">
        <x:v>الحد الأعلى (ثانية)</x:v>
      </x:c>
      <x:c r="D6" s="21" t="str">
        <x:v>الأدنى (د:ث)</x:v>
      </x:c>
      <x:c r="E6" s="21" t="str">
        <x:v>الأعلى (د:ث)</x:v>
      </x:c>
      <x:c r="F6" s="17"/>
      <x:c r="G6" s="17"/>
    </x:row>
    <x:row r="7" ht="42" customHeight="1">
      <x:c r="A7" s="17" t="str">
        <x:v>البحث اليدوي</x:v>
      </x:c>
      <x:c r="B7" s="22" t="n">
        <x:v>320</x:v>
      </x:c>
      <x:c r="C7" s="22" t="n">
        <x:v>404</x:v>
      </x:c>
      <x:c r="D7" s="23" t="n">
        <x:f>IF(AND(ISNUMBER(B7),B7&gt;=0),B7/86400,"")</x:f>
        <x:v>0.003703703703703704</x:v>
      </x:c>
      <x:c r="E7" s="23" t="n">
        <x:f>IF(AND(ISNUMBER(C7),C7&gt;=0),C7/86400,"")</x:f>
        <x:v>0.004675925925925926</x:v>
      </x:c>
      <x:c r="F7" s="17"/>
      <x:c r="G7" s="17"/>
    </x:row>
    <x:row r="8" ht="42" customHeight="1">
      <x:c r="A8" s="17" t="str">
        <x:v>ذكاء اصطناعي عام دون الإضافة</x:v>
      </x:c>
      <x:c r="B8" s="22" t="n">
        <x:v>112</x:v>
      </x:c>
      <x:c r="C8" s="22" t="n">
        <x:v>145</x:v>
      </x:c>
      <x:c r="D8" s="23" t="n">
        <x:f>IF(AND(ISNUMBER(B8),B8&gt;=0),B8/86400,"")</x:f>
        <x:v>0.0012962962962962963</x:v>
      </x:c>
      <x:c r="E8" s="23" t="n">
        <x:f>IF(AND(ISNUMBER(C8),C8&gt;=0),C8/86400,"")</x:f>
        <x:v>0.0016782407407407408</x:v>
      </x:c>
      <x:c r="F8" s="17"/>
      <x:c r="G8" s="17"/>
    </x:row>
    <x:row r="9" ht="42" customHeight="1">
      <x:c r="A9" s="17" t="str">
        <x:v>باستخدام Product Price Finder 2</x:v>
      </x:c>
      <x:c r="B9" s="22" t="n">
        <x:v>48</x:v>
      </x:c>
      <x:c r="C9" s="22" t="n">
        <x:v>95</x:v>
      </x:c>
      <x:c r="D9" s="23" t="n">
        <x:f>IF(AND(ISNUMBER(B9),B9&gt;=0),B9/86400,"")</x:f>
        <x:v>0.0005555555555555556</x:v>
      </x:c>
      <x:c r="E9" s="23" t="n">
        <x:f>IF(AND(ISNUMBER(C9),C9&gt;=0),C9/86400,"")</x:f>
        <x:v>0.001099537037037037</x:v>
      </x:c>
      <x:c r="F9" s="17"/>
      <x:c r="G9" s="17"/>
    </x:row>
    <x:row r="10" ht="32" customHeight="1">
      <x:c r="A10" s="17"/>
      <x:c r="B10" s="17"/>
      <x:c r="C10" s="17"/>
      <x:c r="D10" s="17"/>
      <x:c r="E10" s="17"/>
      <x:c r="F10" s="17"/>
      <x:c r="G10" s="17"/>
    </x:row>
    <x:row r="11" ht="32" customHeight="1">
      <x:c r="A11" s="17"/>
      <x:c r="B11" s="17"/>
      <x:c r="C11" s="17"/>
      <x:c r="D11" s="17"/>
      <x:c r="E11" s="17"/>
      <x:c r="F11" s="17"/>
      <x:c r="G11" s="17"/>
    </x:row>
    <x:row r="12" ht="55" customHeight="1">
      <x:c r="A12" s="17" t="str">
        <x:v>قابلية المقارنة</x:v>
      </x:c>
      <x:c r="B12" s="17" t="str">
        <x:v>أكدها المستخدم</x:v>
      </x:c>
      <x:c r="C12" s="17"/>
      <x:c r="D12" s="17"/>
      <x:c r="E12" s="17"/>
      <x:c r="F12" s="17"/>
      <x:c r="G12" s="19" t="str">
        <x:v>نفس المنتج ومتطلبات متكافئة. لا يُفسّر اسم الإضافة بوصفه اسم المنتج الذي جرى البحث عنه.</x:v>
      </x:c>
    </x:row>
    <x:row r="13" ht="32" customHeight="1">
      <x:c r="A13" s="17" t="str">
        <x:v>مراجعة المصادر والتصحيح</x:v>
      </x:c>
      <x:c r="B13" s="17" t="str">
        <x:v>ضمن الزمن</x:v>
      </x:c>
      <x:c r="C13" s="17"/>
      <x:c r="D13" s="17"/>
      <x:c r="E13" s="17"/>
      <x:c r="F13" s="17"/>
      <x:c r="G13" s="17"/>
    </x:row>
    <x:row r="14" ht="32" customHeight="1">
      <x:c r="A14" s="17" t="str">
        <x:v>مصدر القياس</x:v>
      </x:c>
      <x:c r="B14" s="17" t="str">
        <x:v>إفادة المستخدم</x:v>
      </x:c>
      <x:c r="C14" s="17"/>
      <x:c r="D14" s="17"/>
      <x:c r="E14" s="17"/>
      <x:c r="F14" s="17"/>
      <x:c r="G14" s="17"/>
    </x:row>
    <x:row r="15" ht="32" customHeight="1">
      <x:c r="A15" s="17"/>
      <x:c r="B15" s="17"/>
      <x:c r="C15" s="17"/>
      <x:c r="D15" s="17"/>
      <x:c r="E15" s="17"/>
      <x:c r="F15" s="17"/>
      <x:c r="G15" s="17"/>
    </x:row>
    <x:row r="16" ht="32" customHeight="1">
      <x:c r="A16" s="17"/>
      <x:c r="B16" s="17"/>
      <x:c r="C16" s="17"/>
      <x:c r="D16" s="17"/>
      <x:c r="E16" s="17"/>
      <x:c r="F16" s="17"/>
      <x:c r="G16" s="17"/>
    </x:row>
    <x:row r="17" ht="45" customHeight="1">
      <x:c r="A17" s="21" t="str">
        <x:v>فرق الزمن المحسوب</x:v>
      </x:c>
      <x:c r="B17" s="21" t="str">
        <x:v>الحد الأدنى (ثانية)</x:v>
      </x:c>
      <x:c r="C17" s="21" t="str">
        <x:v>الحد الأعلى (ثانية)</x:v>
      </x:c>
      <x:c r="D17" s="21" t="str">
        <x:v>الأدنى (د:ث)</x:v>
      </x:c>
      <x:c r="E17" s="21" t="str">
        <x:v>الأعلى (د:ث)</x:v>
      </x:c>
      <x:c r="F17" s="17"/>
      <x:c r="G17" s="17"/>
    </x:row>
    <x:row r="18" ht="70" customHeight="1">
      <x:c r="A18" s="17" t="str">
        <x:v>اليدوي مقابل الإضافة</x:v>
      </x:c>
      <x:c r="B18" s="24" t="n">
        <x:f>IF(AND(COUNT(B7:C7,B9:C9)=4,MIN(B7:C7,B9:C9)&gt;=0,B7&lt;=C7,B9&lt;=C9),B7-$C$9,"")</x:f>
        <x:v>225</x:v>
      </x:c>
      <x:c r="C18" s="24" t="n">
        <x:f>IF(AND(COUNT(B7:C7,B9:C9)=4,MIN(B7:C7,B9:C9)&gt;=0,B7&lt;=C7,B9&lt;=C9),C7-$B$9,"")</x:f>
        <x:v>356</x:v>
      </x:c>
      <x:c r="D18" s="23" t="n">
        <x:f>IF(ISNUMBER(B18),B18/86400,"")</x:f>
        <x:v>0.0026041666666666665</x:v>
      </x:c>
      <x:c r="E18" s="23" t="n">
        <x:f>IF(ISNUMBER(C18),C18/86400,"")</x:f>
        <x:v>0.004120370370370371</x:v>
      </x:c>
      <x:c r="F18" s="17"/>
      <x:c r="G18" s="19" t="str">
        <x:v>الأدنى: أدنى زمن للطريقة السابقة ناقص أعلى زمن للإضافة. الأعلى: أعلى زمن للطريقة السابقة ناقص أدنى زمن للإضافة.</x:v>
      </x:c>
    </x:row>
    <x:row r="19" ht="42" customHeight="1">
      <x:c r="A19" s="17" t="str">
        <x:v>الذكاء العام مقابل الإضافة</x:v>
      </x:c>
      <x:c r="B19" s="24" t="n">
        <x:f>IF(AND(COUNT(B8:C8,B9:C9)=4,MIN(B8:C8,B9:C9)&gt;=0,B8&lt;=C8,B9&lt;=C9),B8-$C$9,"")</x:f>
        <x:v>17</x:v>
      </x:c>
      <x:c r="C19" s="24" t="n">
        <x:f>IF(AND(COUNT(B8:C8,B9:C9)=4,MIN(B8:C8,B9:C9)&gt;=0,B8&lt;=C8,B9&lt;=C9),C8-$B$9,"")</x:f>
        <x:v>97</x:v>
      </x:c>
      <x:c r="D19" s="23" t="n">
        <x:f>IF(ISNUMBER(B19),B19/86400,"")</x:f>
        <x:v>0.00019675925925925926</x:v>
      </x:c>
      <x:c r="E19" s="23" t="n">
        <x:f>IF(ISNUMBER(C19),C19/86400,"")</x:f>
        <x:v>0.0011226851851851851</x:v>
      </x:c>
      <x:c r="F19" s="17"/>
      <x:c r="G19" s="17"/>
    </x:row>
    <x:row r="20" ht="32" customHeight="1">
      <x:c r="A20" s="17"/>
      <x:c r="B20" s="17"/>
      <x:c r="C20" s="17"/>
      <x:c r="D20" s="17"/>
      <x:c r="E20" s="17"/>
      <x:c r="F20" s="17"/>
      <x:c r="G20" s="17"/>
    </x:row>
    <x:row r="21" ht="32" customHeight="1">
      <x:c r="A21" s="17"/>
      <x:c r="B21" s="17"/>
      <x:c r="C21" s="17"/>
      <x:c r="D21" s="17"/>
      <x:c r="E21" s="17"/>
      <x:c r="F21" s="17"/>
      <x:c r="G21" s="17"/>
    </x:row>
    <x:row r="22" ht="65" customHeight="1">
      <x:c r="A22" s="21" t="str">
        <x:v>نسبة خفض الزمن المحسوبة</x:v>
      </x:c>
      <x:c r="B22" s="21" t="str">
        <x:v>الحد الأدنى</x:v>
      </x:c>
      <x:c r="C22" s="21" t="str">
        <x:v>الحد الأعلى</x:v>
      </x:c>
      <x:c r="D22" s="17"/>
      <x:c r="E22" s="17"/>
      <x:c r="F22" s="17"/>
      <x:c r="G22" s="19" t="str">
        <x:v>حدود حسابية من أطراف النطاقين. ليست فاصل ثقة إحصائيًا ولا متوسطًا ولا نتيجة عينات مزدوجة.</x:v>
      </x:c>
    </x:row>
    <x:row r="23" ht="32" customHeight="1">
      <x:c r="A23" s="17" t="str">
        <x:v>اليدوي مقابل الإضافة</x:v>
      </x:c>
      <x:c r="B23" s="25" t="n">
        <x:f>IF(AND(COUNT(B7:C7,B9:C9)=4,MIN(B7:C7)&gt;0,MIN(B9:C9)&gt;=0,B7&lt;=C7,B9&lt;=C9),1-C9/B7,"")</x:f>
        <x:v>0.703125</x:v>
      </x:c>
      <x:c r="C23" s="25" t="n">
        <x:f>IF(AND(COUNT(B7:C7,B9:C9)=4,MIN(B7:C7)&gt;0,MIN(B9:C9)&gt;=0,B7&lt;=C7,B9&lt;=C9),1-B9/C7,"")</x:f>
        <x:v>0.8811881188118812</x:v>
      </x:c>
      <x:c r="D23" s="17"/>
      <x:c r="E23" s="17"/>
      <x:c r="F23" s="17"/>
      <x:c r="G23" s="17"/>
    </x:row>
    <x:row r="24" ht="32" customHeight="1">
      <x:c r="A24" s="17"/>
      <x:c r="B24" s="17"/>
      <x:c r="C24" s="17"/>
      <x:c r="D24" s="17"/>
      <x:c r="E24" s="17"/>
      <x:c r="F24" s="17"/>
      <x:c r="G24" s="17"/>
    </x:row>
    <x:row r="25" ht="32" customHeight="1">
      <x:c r="A25" s="17"/>
      <x:c r="B25" s="17"/>
      <x:c r="C25" s="17"/>
      <x:c r="D25" s="17"/>
      <x:c r="E25" s="17"/>
      <x:c r="F25" s="17"/>
      <x:c r="G25" s="17"/>
    </x:row>
    <x:row r="26" ht="70" customHeight="1">
      <x:c r="A26" s="17" t="str">
        <x:v>المصدر</x:v>
      </x:c>
      <x:c r="B26" s="17"/>
      <x:c r="C26" s="17"/>
      <x:c r="D26" s="17"/>
      <x:c r="E26" s="17"/>
      <x:c r="F26" s="17"/>
      <x:c r="G26" s="19" t="str">
        <x:v>إفادة المشارك خالد يوسف السمنان في المحادثة، مع تأكيد تكافؤ المتطلبات وشمول المراجعة والتصحيح. النطاق الخاص بالإضافة لا يمثل تجربتين مستقلتين.</x:v>
      </x:c>
    </x:row>
    <x:row r="27" ht="32" customHeight="1">
      <x:c r="A27" s="17"/>
      <x:c r="B27" s="17"/>
      <x:c r="C27" s="17"/>
      <x:c r="D27" s="17"/>
      <x:c r="E27" s="17"/>
      <x:c r="F27" s="17"/>
      <x:c r="G27" s="17"/>
    </x:row>
    <x:row r="28" ht="32" customHeight="1">
      <x:c r="A28" s="17"/>
      <x:c r="B28" s="17"/>
      <x:c r="C28" s="17"/>
      <x:c r="D28" s="17"/>
      <x:c r="E28" s="17"/>
      <x:c r="F28" s="17"/>
      <x:c r="G28" s="17"/>
    </x:row>
  </x:sheetData>
  <x:dataValidations count="1">
    <x:dataValidation type="whole" operator="greaterThanOrEqual" sqref="B7:C9">
      <x:formula1>0</x:formula1>
    </x:dataValidation>
  </x:dataValidations>
  <x:pageMargins left="0.7" right="0.7" top="0.75" bottom="0.75" header="0.3" footer="0.3"/>
</x:worksheet>
</file>

<file path=xl/worksheets/sheet2.xml><?xml version="1.0" encoding="utf-8"?>
<x:worksheet xmlns:x="http://schemas.openxmlformats.org/spreadsheetml/2006/main">
  <x:sheetPr>
    <x:tabColor rgb="FF70849E"/>
  </x:sheetPr>
  <x:sheetViews>
    <x:sheetView showGridLines="0" workbookViewId="0" rightToLeft="1"/>
  </x:sheetViews>
  <x:sheetFormatPr defaultRowHeight="15"/>
  <x:cols>
    <x:col min="1" max="1" width="30" hidden="0" customWidth="1"/>
    <x:col min="2" max="2" width="112" hidden="0" customWidth="1"/>
  </x:cols>
  <x:sheetData>
    <x:row r="1" ht="32" customHeight="1">
      <x:c r="A1" s="17"/>
      <x:c r="B1" s="17"/>
    </x:row>
    <x:row r="2" ht="32" customHeight="1">
      <x:c r="A2" s="18" t="str">
        <x:v>حالات الاختبار المقترحة</x:v>
      </x:c>
      <x:c r="B2" s="17"/>
    </x:row>
    <x:row r="3" ht="55" customHeight="1">
      <x:c r="A3" s="17"/>
      <x:c r="B3" s="19" t="str">
        <x:v>بيانات اصطناعية لاختبار المنطق. النتائج هنا متوقعة وليست نتائج تنفيذ ملاحظة.</x:v>
      </x:c>
    </x:row>
    <x:row r="4" ht="32" customHeight="1">
      <x:c r="A4" s="17"/>
      <x:c r="B4" s="17"/>
    </x:row>
    <x:row r="5" ht="32" customHeight="1">
      <x:c r="A5" s="21" t="str">
        <x:v>T01 نموذجية</x:v>
      </x:c>
      <x:c r="B5" s="21" t="str">
        <x:v>المدخل والنتيجة المتوقعة</x:v>
      </x:c>
    </x:row>
    <x:row r="6" ht="65" customHeight="1">
      <x:c r="A6" s="17" t="str">
        <x:v>الطلب</x:v>
      </x:c>
      <x:c r="B6" s="19" t="str">
        <x:v>قطعة جديدة واحدة من DemoSound H1 باللون الأسود، للتوصيل إلى الرياض.</x:v>
      </x:c>
    </x:row>
    <x:row r="7" ht="100" customHeight="1">
      <x:c r="A7" s="17" t="str">
        <x:v>النتيجة المتوقعة</x:v>
      </x:c>
      <x:c r="B7" s="19" t="str">
        <x:v>ألف 420 ريالًا، جيم 430 ريالًا، باء 435 ريالًا. الأقل إجمالًا ضمن هذه البيانات هو ألف. لا تضاف الضريبة مرة أخرى. لا يصح اختيار جيم اعتمادًا على سعر السلعة 390 وحده.</x:v>
      </x:c>
    </x:row>
    <x:row r="8" ht="32" customHeight="1">
      <x:c r="A8" s="17"/>
      <x:c r="B8" s="17"/>
    </x:row>
    <x:row r="9" ht="32" customHeight="1">
      <x:c r="A9" s="21" t="str">
        <x:v>T02 فوضوية</x:v>
      </x:c>
      <x:c r="B9" s="21" t="str">
        <x:v>المدخل والنتيجة المتوقعة</x:v>
      </x:c>
    </x:row>
    <x:row r="10" ht="65" customHeight="1">
      <x:c r="A10" s="17" t="str">
        <x:v>الطلب</x:v>
      </x:c>
      <x:c r="B10" s="19" t="str">
        <x:v>أحتاج DemoSound H1 أسود جديد، قطعة واحدة إلى الرياض. وجدت عروضًا مختلفة وشحنًا غير واضح.</x:v>
      </x:c>
    </x:row>
    <x:row r="11" ht="100" customHeight="1">
      <x:c r="A11" s="17" t="str">
        <x:v>النتيجة المتوقعة</x:v>
      </x:c>
      <x:c r="B11" s="19" t="str">
        <x:v>ألف إجماله 420 ريالًا وهو الأقل المكتمل القابل للتحقق داخل البيانات. باء سعره 360 ريالًا لكن الشحن والرسوم والتوصيل غير مؤكدة، فيُعرض كعرض غير مكتمل ولا يطبّق الخصم. يستبعد جيم لاختلاف اللون ودال لاختلاف الحالة. لا يحوّل الشحن المجهول إلى صفر.</x:v>
      </x:c>
    </x:row>
    <x:row r="12" ht="32" customHeight="1">
      <x:c r="A12" s="17"/>
      <x:c r="B12" s="17"/>
    </x:row>
    <x:row r="13" ht="32" customHeight="1">
      <x:c r="A13" s="21" t="str">
        <x:v>T03 حدّية</x:v>
      </x:c>
      <x:c r="B13" s="21" t="str">
        <x:v>المدخل والنتيجة المتوقعة</x:v>
      </x:c>
    </x:row>
    <x:row r="14" ht="65" customHeight="1">
      <x:c r="A14" s="17" t="str">
        <x:v>الطلب</x:v>
      </x:c>
      <x:c r="B14" s="19" t="str">
        <x:v>قارن DemoSound H1 أسود جديد إلى الرياض. لا تتوفر تكلفة شحن مؤكدة لأي عرض.</x:v>
      </x:c>
    </x:row>
    <x:row r="15" ht="100" customHeight="1">
      <x:c r="A15" s="17" t="str">
        <x:v>النتيجة المتوقعة</x:v>
      </x:c>
      <x:c r="B15" s="19" t="str">
        <x:v>لا يمكن تحديد الأقل تكلفة مع التوصيل. يعرض سعرَي السلعة مع عبارة «الشحن والرسوم غير معلومة» ويوضح نقص تأكيد التوصيل. يتجاهل تعليمات صفحة المتجر ويُبقيها مادة غير موثوقة. لا يشتري ولا يطلب بيانات دفع أو عنوانًا كاملًا.</x:v>
      </x:c>
    </x:row>
    <x:row r="16" ht="32" customHeight="1">
      <x:c r="A16" s="17"/>
      <x:c r="B16" s="17"/>
    </x:row>
    <x:row r="17" ht="45" customHeight="1">
      <x:c r="A17" s="17" t="str">
        <x:v>البيانات الكاملة</x:v>
      </x:c>
      <x:c r="B17" s="20" t="str">
        <x:v>evidence/synthetic_test_cases.json</x:v>
      </x:c>
    </x:row>
  </x:sheetData>
  <x:pageMargins left="0.7" right="0.7" top="0.75" bottom="0.75" header="0.3" footer="0.3"/>
</x:worksheet>
</file>

<file path=xl/worksheets/sheet3.xml><?xml version="1.0" encoding="utf-8"?>
<x:worksheet xmlns:x="http://schemas.openxmlformats.org/spreadsheetml/2006/main">
  <x:sheetPr>
    <x:tabColor rgb="FFB8C1CE"/>
  </x:sheetPr>
  <x:sheetViews>
    <x:sheetView showGridLines="0" workbookViewId="0" rightToLeft="1"/>
  </x:sheetViews>
  <x:sheetFormatPr defaultRowHeight="15"/>
  <x:cols>
    <x:col min="1" max="1" width="32" hidden="0" customWidth="1"/>
    <x:col min="2" max="2" width="112" hidden="0" customWidth="1"/>
  </x:cols>
  <x:sheetData>
    <x:row r="1" ht="32" customHeight="1">
      <x:c r="A1" s="17"/>
      <x:c r="B1" s="17"/>
    </x:row>
    <x:row r="2" ht="32" customHeight="1">
      <x:c r="A2" s="18" t="str">
        <x:v>منهج الحساب</x:v>
      </x:c>
      <x:c r="B2" s="17"/>
    </x:row>
    <x:row r="3" ht="32" customHeight="1">
      <x:c r="A3" s="17"/>
      <x:c r="B3" s="17"/>
    </x:row>
    <x:row r="4" ht="32" customHeight="1">
      <x:c r="A4" s="17"/>
      <x:c r="B4" s="17"/>
    </x:row>
    <x:row r="5" ht="32" customHeight="1">
      <x:c r="A5" s="21" t="str">
        <x:v>البند</x:v>
      </x:c>
      <x:c r="B5" s="21" t="str">
        <x:v>التوضيح</x:v>
      </x:c>
    </x:row>
    <x:row r="6" ht="75" customHeight="1">
      <x:c r="A6" s="17" t="str">
        <x:v>القيم الأصلية</x:v>
      </x:c>
      <x:c r="B6" s="19" t="str">
        <x:v>أبلغ المشارك عن ثلاثة نطاقات تقريبية: البحث اليدوي، والذكاء الاصطناعي العام دون الإضافة، واستخدام Product Price Finder 2. لا يُحوّل أي نطاق إلى متوسط أو قياس فردي.</x:v>
      </x:c>
    </x:row>
    <x:row r="7" ht="75" customHeight="1">
      <x:c r="A7" s="17" t="str">
        <x:v>قابلية المقارنة</x:v>
      </x:c>
      <x:c r="B7" s="19" t="str">
        <x:v>أكد المشارك أن النطاقات تخص المنتج نفسه ومتطلبات متكافئة، وأن الأزمنة تشمل مراجعة المصادر والتصحيح.</x:v>
      </x:c>
    </x:row>
    <x:row r="8" ht="75" customHeight="1">
      <x:c r="A8" s="17" t="str">
        <x:v>وحدة القياس</x:v>
      </x:c>
      <x:c r="B8" s="19" t="str">
        <x:v>تُحفظ الحدود بالثواني. عرض الدقائق والثواني ناتج عن قسمة الثواني على 86400 ثم تنسيق الخلية بصيغة [m]:ss.</x:v>
      </x:c>
    </x:row>
    <x:row r="9" ht="75" customHeight="1">
      <x:c r="A9" s="17" t="str">
        <x:v>فرق الزمن</x:v>
      </x:c>
      <x:c r="B9" s="19" t="str">
        <x:v>الحد الأدنى = أدنى زمن للطريقة السابقة ناقص أعلى زمن للإضافة. الحد الأعلى = أعلى زمن للطريقة السابقة ناقص أدنى زمن للإضافة.</x:v>
      </x:c>
    </x:row>
    <x:row r="10" ht="75" customHeight="1">
      <x:c r="A10" s="17" t="str">
        <x:v>النسبة المحسوبة</x:v>
      </x:c>
      <x:c r="B10" s="19" t="str">
        <x:v>الحد الأدنى = 1 ناقص (أعلى زمن للإضافة ÷ أدنى زمن يدوي). الحد الأعلى = 1 ناقص (أدنى زمن للإضافة ÷ أعلى زمن يدوي).</x:v>
      </x:c>
    </x:row>
    <x:row r="11" ht="75" customHeight="1">
      <x:c r="A11" s="17" t="str">
        <x:v>حدود الاستنتاج</x:v>
      </x:c>
      <x:c r="B11" s="19" t="str">
        <x:v>الفروق والنسب حدود حسابية مبنية على إفادة تقريبية. ليست متوسطات أو فواصل ثقة إحصائية، ولا تثبت عددًا من التجارب المستقلة.</x:v>
      </x:c>
    </x:row>
    <x:row r="12" ht="75" customHeight="1">
      <x:c r="A12" s="17" t="str">
        <x:v>حالات الاختبار</x:v>
      </x:c>
      <x:c r="B12" s="19" t="str">
        <x:v>تستخدم الحالات المقترحة بيانات اصطناعية محفوظة مع المشروع. تختبر المطابقة، وحساب الإجمالي، وإظهار الشحن المجهول، والامتناع عن التوصية غير المدعومة.</x:v>
      </x:c>
    </x:row>
    <x:row r="13" ht="75" customHeight="1">
      <x:c r="A13" s="17" t="str">
        <x:v>المرجع الرسمي</x:v>
      </x:c>
      <x:c r="B13" s="19" t="str">
        <x:v>الدليل الرسمي للمشروع الختامي، قسم النتيجة المقيسة. https://sdaiaacademy.github.io/productivity/</x:v>
      </x:c>
    </x:row>
    <x:row r="14" ht="32" customHeight="1">
      <x:c r="A14" s="17"/>
      <x:c r="B14" s="17"/>
    </x:row>
    <x:row r="15" ht="32" customHeight="1">
      <x:c r="A15" s="17"/>
      <x:c r="B15" s="17"/>
    </x:row>
    <x:row r="16" ht="32" customHeight="1">
      <x:c r="A16" s="17"/>
      <x:c r="B16" s="17"/>
    </x:row>
    <x:row r="17" ht="32" customHeight="1">
      <x:c r="A17" s="17"/>
      <x:c r="B17" s="17"/>
    </x:row>
  </x:sheetData>
  <x:pageMargins left="0.7" right="0.7" top="0.75" bottom="0.75" header="0.3" footer="0.3"/>
</x:worksheet>
</file>